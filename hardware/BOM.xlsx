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137MHz-VHF-Satellite-LNA-Receiver\hardware\"/>
    </mc:Choice>
  </mc:AlternateContent>
  <xr:revisionPtr revIDLastSave="0" documentId="8_{E7871854-64A0-4343-ADAA-49D44D6E60A0}" xr6:coauthVersionLast="47" xr6:coauthVersionMax="47" xr10:uidLastSave="{00000000-0000-0000-0000-000000000000}"/>
  <bookViews>
    <workbookView xWindow="444" yWindow="396" windowWidth="22596" windowHeight="11844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2" i="1" l="1"/>
  <c r="C51" i="1"/>
  <c r="A49" i="1"/>
  <c r="A41" i="1"/>
  <c r="A25" i="1"/>
  <c r="A10" i="1"/>
</calcChain>
</file>

<file path=xl/sharedStrings.xml><?xml version="1.0" encoding="utf-8"?>
<sst xmlns="http://schemas.openxmlformats.org/spreadsheetml/2006/main" count="117" uniqueCount="78">
  <si>
    <t>Bill of Materials (BOM) — 137.5 MHz VHF Satellite LNA Receiver</t>
  </si>
  <si>
    <t>1. Semiconductors &amp; Connectors</t>
  </si>
  <si>
    <t>Qty</t>
  </si>
  <si>
    <t>Part Number (MPN)</t>
  </si>
  <si>
    <t>Package</t>
  </si>
  <si>
    <t>Value / Description</t>
  </si>
  <si>
    <t>PGA-103+</t>
  </si>
  <si>
    <t>SOT-89</t>
  </si>
  <si>
    <t>High Dynamic Range MMIC LNA (U1)</t>
  </si>
  <si>
    <t>AO3401A</t>
  </si>
  <si>
    <t>SOT-23</t>
  </si>
  <si>
    <t>P-MOSFET, Reverse Polarity Protection (Q1)</t>
  </si>
  <si>
    <t>132289</t>
  </si>
  <si>
    <t>SMD Edge</t>
  </si>
  <si>
    <t>SMA Female Edge Launch Connector 50 Ω (J1, J2)</t>
  </si>
  <si>
    <t>S2B-XH-A-1</t>
  </si>
  <si>
    <t>TH 2.5mm</t>
  </si>
  <si>
    <t>Header 2-Pin 2.5mm Right Angle (J3)</t>
  </si>
  <si>
    <t>Subtotal (units)</t>
  </si>
  <si>
    <t>2. Inductors &amp; Ferrite Beads (High-Q SMD)</t>
  </si>
  <si>
    <t>0603CS-16NXGRW</t>
  </si>
  <si>
    <t>0603</t>
  </si>
  <si>
    <t>16 nH, 2%, Ceramic Core (Butterworth)</t>
  </si>
  <si>
    <t>0603CS-22NXGRW</t>
  </si>
  <si>
    <t>22 nH, 2%, Ceramic Core (Cauer)</t>
  </si>
  <si>
    <t>0603CS-33NXGRW</t>
  </si>
  <si>
    <t>33 nH, 2%, Ceramic Core (Cauer)</t>
  </si>
  <si>
    <t>0603CS-82NXGRW</t>
  </si>
  <si>
    <t>82 nH, 2%, Ceramic Core (Cauer)</t>
  </si>
  <si>
    <t>0603CS-R12XGRW</t>
  </si>
  <si>
    <t>120 nH, 2%, Ceramic Core (Cauer)</t>
  </si>
  <si>
    <t>0603CS-R15XGRW</t>
  </si>
  <si>
    <t>150 nH, 2%, Ceramic Core (Cauer)</t>
  </si>
  <si>
    <t>0603CS-R22XGRW</t>
  </si>
  <si>
    <t>220 nH, 2%, Ceramic Core (Cauer)</t>
  </si>
  <si>
    <t>0603CS-R27XGRW</t>
  </si>
  <si>
    <t>270 nH, 2%, Ceramic Core (Butterworth)</t>
  </si>
  <si>
    <t>0805LS-471XJRC</t>
  </si>
  <si>
    <t>0805</t>
  </si>
  <si>
    <t>470 nH, 5%, Ceramic-Ferrite Core (Bias choke / R+L stability shunt)</t>
  </si>
  <si>
    <t>0805LS-681XJRC</t>
  </si>
  <si>
    <t>680 nH, 5%, Ceramic-Ferrite Core (Stab. network)</t>
  </si>
  <si>
    <t>BLM18HE601SN1D</t>
  </si>
  <si>
    <t>600 Ω @ 100MHz Ferrite Bead (DC Filtering)</t>
  </si>
  <si>
    <t>3. Capacitors (C0G/NP0 &amp; X7R/X5R)</t>
  </si>
  <si>
    <t>GRM1885C1H4R0BA01D</t>
  </si>
  <si>
    <t>4 pF, ±0.1pF, 50V (C0G/NP0)</t>
  </si>
  <si>
    <t>GRM1885C1H120GA01D</t>
  </si>
  <si>
    <t>12 pF, 2%, 50V (C0G/NP0)</t>
  </si>
  <si>
    <t>GRM1885C1H220GA01D</t>
  </si>
  <si>
    <t>22 pF, 2%, 50V (C0G/NP0)</t>
  </si>
  <si>
    <t>GRM1885C1H680GA01D</t>
  </si>
  <si>
    <t>68 pF, 2%, 50V (C0G/NP0)</t>
  </si>
  <si>
    <t>GRM1885C1H820GA01D</t>
  </si>
  <si>
    <t>82 pF, 2%, 50V (C0G/NP0)</t>
  </si>
  <si>
    <t>GRM1885C1H101GA01D</t>
  </si>
  <si>
    <t>100 pF, 2%, 50V (C0G/NP0)</t>
  </si>
  <si>
    <t>GRM1885C1H151GA01D</t>
  </si>
  <si>
    <t>150 pF, 2%, 50V (C0G/NP0)</t>
  </si>
  <si>
    <t>GRM1885C1H331JA01D</t>
  </si>
  <si>
    <t>330 pF, 5%, 50V (C0G/NP0) — Stab. network</t>
  </si>
  <si>
    <t>GRM188R72A103KA01D</t>
  </si>
  <si>
    <t>10 nF, 10%, 100V (X7R) — DC Block</t>
  </si>
  <si>
    <t>GRM188R71C334KA01D</t>
  </si>
  <si>
    <t>0.33 µF, 10%, 16V (X7R) — Decoupling</t>
  </si>
  <si>
    <t>GRM188R60J106ME47D</t>
  </si>
  <si>
    <t>10 µF, 20%, 6.3V (X5R) — Decoupling</t>
  </si>
  <si>
    <t>4. Resistors (Thick Film, 1%)</t>
  </si>
  <si>
    <t>RC0603FR-0718RL</t>
  </si>
  <si>
    <t>18 Ω, 1/10W, 1%</t>
  </si>
  <si>
    <t>RC0603FR-0750RL</t>
  </si>
  <si>
    <t>50 Ω, 1/10W, 1%</t>
  </si>
  <si>
    <t>RC0603FR-07150RL</t>
  </si>
  <si>
    <t>150 Ω, 1/10W, 1%</t>
  </si>
  <si>
    <t>RC0603FR-07300RL</t>
  </si>
  <si>
    <t>300 Ω, 1/10W, 1%</t>
  </si>
  <si>
    <t>Total unique line items:</t>
  </si>
  <si>
    <t>Total component quantity: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</si>
</sst>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555555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4" borderId="1" xfId="0" applyFont="1" applyFill="1" applyBorder="1"/>
    <xf numFmtId="0" fontId="0" fillId="4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showGridLines="0" tabSelected="1" zoomScaleNormal="100" workbookViewId="0">
      <pane ySplit="4" topLeftCell="A48" activePane="bottomLeft" state="frozen"/>
      <selection pane="bottomLeft" activeCell="A54" sqref="A54:D54"/>
    </sheetView>
  </sheetViews>
  <sheetFormatPr baseColWidth="10" defaultColWidth="8.6640625" defaultRowHeight="14.4" x14ac:dyDescent="0.3"/>
  <cols>
    <col min="1" max="1" width="6" customWidth="1"/>
    <col min="2" max="2" width="26" customWidth="1"/>
    <col min="3" max="3" width="10" customWidth="1"/>
    <col min="4" max="4" width="55" customWidth="1"/>
  </cols>
  <sheetData>
    <row r="1" spans="1:4" ht="17.399999999999999" x14ac:dyDescent="0.3">
      <c r="A1" s="6" t="s">
        <v>0</v>
      </c>
      <c r="B1" s="6"/>
      <c r="C1" s="6"/>
      <c r="D1" s="6"/>
    </row>
    <row r="2" spans="1:4" x14ac:dyDescent="0.3">
      <c r="A2" s="5"/>
      <c r="B2" s="5"/>
      <c r="C2" s="5"/>
      <c r="D2" s="5"/>
    </row>
    <row r="4" spans="1:4" ht="19.5" customHeight="1" x14ac:dyDescent="0.3">
      <c r="A4" s="4" t="s">
        <v>1</v>
      </c>
      <c r="B4" s="4"/>
      <c r="C4" s="4"/>
      <c r="D4" s="4"/>
    </row>
    <row r="5" spans="1:4" x14ac:dyDescent="0.3">
      <c r="A5" s="7" t="s">
        <v>2</v>
      </c>
      <c r="B5" s="8" t="s">
        <v>3</v>
      </c>
      <c r="C5" s="7" t="s">
        <v>4</v>
      </c>
      <c r="D5" s="8" t="s">
        <v>5</v>
      </c>
    </row>
    <row r="6" spans="1:4" x14ac:dyDescent="0.3">
      <c r="A6" s="9">
        <v>1</v>
      </c>
      <c r="B6" s="10" t="s">
        <v>6</v>
      </c>
      <c r="C6" s="10" t="s">
        <v>7</v>
      </c>
      <c r="D6" s="10" t="s">
        <v>8</v>
      </c>
    </row>
    <row r="7" spans="1:4" x14ac:dyDescent="0.3">
      <c r="A7" s="9">
        <v>1</v>
      </c>
      <c r="B7" s="10" t="s">
        <v>9</v>
      </c>
      <c r="C7" s="10" t="s">
        <v>10</v>
      </c>
      <c r="D7" s="10" t="s">
        <v>11</v>
      </c>
    </row>
    <row r="8" spans="1:4" x14ac:dyDescent="0.3">
      <c r="A8" s="9">
        <v>2</v>
      </c>
      <c r="B8" s="10" t="s">
        <v>12</v>
      </c>
      <c r="C8" s="10" t="s">
        <v>13</v>
      </c>
      <c r="D8" s="10" t="s">
        <v>14</v>
      </c>
    </row>
    <row r="9" spans="1:4" x14ac:dyDescent="0.3">
      <c r="A9" s="9">
        <v>1</v>
      </c>
      <c r="B9" s="10" t="s">
        <v>15</v>
      </c>
      <c r="C9" s="10" t="s">
        <v>16</v>
      </c>
      <c r="D9" s="10" t="s">
        <v>17</v>
      </c>
    </row>
    <row r="10" spans="1:4" x14ac:dyDescent="0.3">
      <c r="A10" s="11">
        <f>SUM(A6:A9)</f>
        <v>5</v>
      </c>
      <c r="B10" s="11" t="s">
        <v>18</v>
      </c>
      <c r="C10" s="12"/>
      <c r="D10" s="12"/>
    </row>
    <row r="12" spans="1:4" ht="19.5" customHeight="1" x14ac:dyDescent="0.3">
      <c r="A12" s="4" t="s">
        <v>19</v>
      </c>
      <c r="B12" s="4"/>
      <c r="C12" s="4"/>
      <c r="D12" s="4"/>
    </row>
    <row r="13" spans="1:4" x14ac:dyDescent="0.3">
      <c r="A13" s="7" t="s">
        <v>2</v>
      </c>
      <c r="B13" s="8" t="s">
        <v>3</v>
      </c>
      <c r="C13" s="7" t="s">
        <v>4</v>
      </c>
      <c r="D13" s="8" t="s">
        <v>5</v>
      </c>
    </row>
    <row r="14" spans="1:4" x14ac:dyDescent="0.3">
      <c r="A14" s="9">
        <v>2</v>
      </c>
      <c r="B14" s="10" t="s">
        <v>20</v>
      </c>
      <c r="C14" s="10" t="s">
        <v>21</v>
      </c>
      <c r="D14" s="10" t="s">
        <v>22</v>
      </c>
    </row>
    <row r="15" spans="1:4" x14ac:dyDescent="0.3">
      <c r="A15" s="9">
        <v>1</v>
      </c>
      <c r="B15" s="10" t="s">
        <v>23</v>
      </c>
      <c r="C15" s="10" t="s">
        <v>21</v>
      </c>
      <c r="D15" s="10" t="s">
        <v>24</v>
      </c>
    </row>
    <row r="16" spans="1:4" x14ac:dyDescent="0.3">
      <c r="A16" s="9">
        <v>2</v>
      </c>
      <c r="B16" s="10" t="s">
        <v>25</v>
      </c>
      <c r="C16" s="10" t="s">
        <v>21</v>
      </c>
      <c r="D16" s="10" t="s">
        <v>26</v>
      </c>
    </row>
    <row r="17" spans="1:4" x14ac:dyDescent="0.3">
      <c r="A17" s="9">
        <v>1</v>
      </c>
      <c r="B17" s="10" t="s">
        <v>27</v>
      </c>
      <c r="C17" s="10" t="s">
        <v>21</v>
      </c>
      <c r="D17" s="10" t="s">
        <v>28</v>
      </c>
    </row>
    <row r="18" spans="1:4" x14ac:dyDescent="0.3">
      <c r="A18" s="9">
        <v>1</v>
      </c>
      <c r="B18" s="10" t="s">
        <v>29</v>
      </c>
      <c r="C18" s="10" t="s">
        <v>21</v>
      </c>
      <c r="D18" s="10" t="s">
        <v>30</v>
      </c>
    </row>
    <row r="19" spans="1:4" x14ac:dyDescent="0.3">
      <c r="A19" s="9">
        <v>1</v>
      </c>
      <c r="B19" s="10" t="s">
        <v>31</v>
      </c>
      <c r="C19" s="10" t="s">
        <v>21</v>
      </c>
      <c r="D19" s="10" t="s">
        <v>32</v>
      </c>
    </row>
    <row r="20" spans="1:4" x14ac:dyDescent="0.3">
      <c r="A20" s="9">
        <v>1</v>
      </c>
      <c r="B20" s="10" t="s">
        <v>33</v>
      </c>
      <c r="C20" s="10" t="s">
        <v>21</v>
      </c>
      <c r="D20" s="10" t="s">
        <v>34</v>
      </c>
    </row>
    <row r="21" spans="1:4" x14ac:dyDescent="0.3">
      <c r="A21" s="9">
        <v>1</v>
      </c>
      <c r="B21" s="10" t="s">
        <v>35</v>
      </c>
      <c r="C21" s="10" t="s">
        <v>21</v>
      </c>
      <c r="D21" s="10" t="s">
        <v>36</v>
      </c>
    </row>
    <row r="22" spans="1:4" x14ac:dyDescent="0.3">
      <c r="A22" s="9">
        <v>2</v>
      </c>
      <c r="B22" s="10" t="s">
        <v>37</v>
      </c>
      <c r="C22" s="10" t="s">
        <v>38</v>
      </c>
      <c r="D22" s="10" t="s">
        <v>39</v>
      </c>
    </row>
    <row r="23" spans="1:4" x14ac:dyDescent="0.3">
      <c r="A23" s="9">
        <v>1</v>
      </c>
      <c r="B23" s="10" t="s">
        <v>40</v>
      </c>
      <c r="C23" s="10" t="s">
        <v>38</v>
      </c>
      <c r="D23" s="10" t="s">
        <v>41</v>
      </c>
    </row>
    <row r="24" spans="1:4" x14ac:dyDescent="0.3">
      <c r="A24" s="9">
        <v>1</v>
      </c>
      <c r="B24" s="10" t="s">
        <v>42</v>
      </c>
      <c r="C24" s="10" t="s">
        <v>21</v>
      </c>
      <c r="D24" s="10" t="s">
        <v>43</v>
      </c>
    </row>
    <row r="25" spans="1:4" x14ac:dyDescent="0.3">
      <c r="A25" s="11">
        <f>SUM(A14:A24)</f>
        <v>14</v>
      </c>
      <c r="B25" s="11" t="s">
        <v>18</v>
      </c>
      <c r="C25" s="12"/>
      <c r="D25" s="12"/>
    </row>
    <row r="26" spans="1:4" ht="27.75" customHeight="1" x14ac:dyDescent="0.3">
      <c r="A26" s="3"/>
      <c r="B26" s="3"/>
      <c r="C26" s="3"/>
      <c r="D26" s="3"/>
    </row>
    <row r="28" spans="1:4" ht="19.5" customHeight="1" x14ac:dyDescent="0.3">
      <c r="A28" s="4" t="s">
        <v>44</v>
      </c>
      <c r="B28" s="4"/>
      <c r="C28" s="4"/>
      <c r="D28" s="4"/>
    </row>
    <row r="29" spans="1:4" x14ac:dyDescent="0.3">
      <c r="A29" s="7" t="s">
        <v>2</v>
      </c>
      <c r="B29" s="8" t="s">
        <v>3</v>
      </c>
      <c r="C29" s="7" t="s">
        <v>4</v>
      </c>
      <c r="D29" s="8" t="s">
        <v>5</v>
      </c>
    </row>
    <row r="30" spans="1:4" x14ac:dyDescent="0.3">
      <c r="A30" s="9">
        <v>1</v>
      </c>
      <c r="B30" s="10" t="s">
        <v>45</v>
      </c>
      <c r="C30" s="10" t="s">
        <v>21</v>
      </c>
      <c r="D30" s="10" t="s">
        <v>46</v>
      </c>
    </row>
    <row r="31" spans="1:4" x14ac:dyDescent="0.3">
      <c r="A31" s="9">
        <v>1</v>
      </c>
      <c r="B31" s="10" t="s">
        <v>47</v>
      </c>
      <c r="C31" s="10" t="s">
        <v>21</v>
      </c>
      <c r="D31" s="10" t="s">
        <v>48</v>
      </c>
    </row>
    <row r="32" spans="1:4" x14ac:dyDescent="0.3">
      <c r="A32" s="9">
        <v>2</v>
      </c>
      <c r="B32" s="10" t="s">
        <v>49</v>
      </c>
      <c r="C32" s="10" t="s">
        <v>21</v>
      </c>
      <c r="D32" s="10" t="s">
        <v>50</v>
      </c>
    </row>
    <row r="33" spans="1:4" x14ac:dyDescent="0.3">
      <c r="A33" s="9">
        <v>2</v>
      </c>
      <c r="B33" s="10" t="s">
        <v>51</v>
      </c>
      <c r="C33" s="10" t="s">
        <v>21</v>
      </c>
      <c r="D33" s="10" t="s">
        <v>52</v>
      </c>
    </row>
    <row r="34" spans="1:4" x14ac:dyDescent="0.3">
      <c r="A34" s="9">
        <v>1</v>
      </c>
      <c r="B34" s="10" t="s">
        <v>53</v>
      </c>
      <c r="C34" s="10" t="s">
        <v>21</v>
      </c>
      <c r="D34" s="10" t="s">
        <v>54</v>
      </c>
    </row>
    <row r="35" spans="1:4" x14ac:dyDescent="0.3">
      <c r="A35" s="9">
        <v>2</v>
      </c>
      <c r="B35" s="10" t="s">
        <v>55</v>
      </c>
      <c r="C35" s="10" t="s">
        <v>21</v>
      </c>
      <c r="D35" s="10" t="s">
        <v>56</v>
      </c>
    </row>
    <row r="36" spans="1:4" x14ac:dyDescent="0.3">
      <c r="A36" s="9">
        <v>1</v>
      </c>
      <c r="B36" s="10" t="s">
        <v>57</v>
      </c>
      <c r="C36" s="10" t="s">
        <v>21</v>
      </c>
      <c r="D36" s="10" t="s">
        <v>58</v>
      </c>
    </row>
    <row r="37" spans="1:4" x14ac:dyDescent="0.3">
      <c r="A37" s="9">
        <v>1</v>
      </c>
      <c r="B37" s="10" t="s">
        <v>59</v>
      </c>
      <c r="C37" s="10" t="s">
        <v>21</v>
      </c>
      <c r="D37" s="10" t="s">
        <v>60</v>
      </c>
    </row>
    <row r="38" spans="1:4" x14ac:dyDescent="0.3">
      <c r="A38" s="9">
        <v>2</v>
      </c>
      <c r="B38" s="10" t="s">
        <v>61</v>
      </c>
      <c r="C38" s="10" t="s">
        <v>21</v>
      </c>
      <c r="D38" s="10" t="s">
        <v>62</v>
      </c>
    </row>
    <row r="39" spans="1:4" x14ac:dyDescent="0.3">
      <c r="A39" s="9">
        <v>1</v>
      </c>
      <c r="B39" s="10" t="s">
        <v>63</v>
      </c>
      <c r="C39" s="10" t="s">
        <v>21</v>
      </c>
      <c r="D39" s="10" t="s">
        <v>64</v>
      </c>
    </row>
    <row r="40" spans="1:4" x14ac:dyDescent="0.3">
      <c r="A40" s="9">
        <v>1</v>
      </c>
      <c r="B40" s="10" t="s">
        <v>65</v>
      </c>
      <c r="C40" s="10" t="s">
        <v>21</v>
      </c>
      <c r="D40" s="10" t="s">
        <v>66</v>
      </c>
    </row>
    <row r="41" spans="1:4" x14ac:dyDescent="0.3">
      <c r="A41" s="11">
        <f>SUM(A30:A40)</f>
        <v>15</v>
      </c>
      <c r="B41" s="11" t="s">
        <v>18</v>
      </c>
      <c r="C41" s="12"/>
      <c r="D41" s="12"/>
    </row>
    <row r="43" spans="1:4" ht="19.5" customHeight="1" x14ac:dyDescent="0.3">
      <c r="A43" s="4" t="s">
        <v>67</v>
      </c>
      <c r="B43" s="4"/>
      <c r="C43" s="4"/>
      <c r="D43" s="4"/>
    </row>
    <row r="44" spans="1:4" x14ac:dyDescent="0.3">
      <c r="A44" s="7" t="s">
        <v>2</v>
      </c>
      <c r="B44" s="8" t="s">
        <v>3</v>
      </c>
      <c r="C44" s="7" t="s">
        <v>4</v>
      </c>
      <c r="D44" s="8" t="s">
        <v>5</v>
      </c>
    </row>
    <row r="45" spans="1:4" x14ac:dyDescent="0.3">
      <c r="A45" s="9">
        <v>1</v>
      </c>
      <c r="B45" s="10" t="s">
        <v>68</v>
      </c>
      <c r="C45" s="10" t="s">
        <v>21</v>
      </c>
      <c r="D45" s="10" t="s">
        <v>69</v>
      </c>
    </row>
    <row r="46" spans="1:4" x14ac:dyDescent="0.3">
      <c r="A46" s="9">
        <v>1</v>
      </c>
      <c r="B46" s="10" t="s">
        <v>70</v>
      </c>
      <c r="C46" s="10" t="s">
        <v>21</v>
      </c>
      <c r="D46" s="10" t="s">
        <v>71</v>
      </c>
    </row>
    <row r="47" spans="1:4" x14ac:dyDescent="0.3">
      <c r="A47" s="9">
        <v>1</v>
      </c>
      <c r="B47" s="10" t="s">
        <v>72</v>
      </c>
      <c r="C47" s="10" t="s">
        <v>21</v>
      </c>
      <c r="D47" s="10" t="s">
        <v>73</v>
      </c>
    </row>
    <row r="48" spans="1:4" x14ac:dyDescent="0.3">
      <c r="A48" s="9">
        <v>2</v>
      </c>
      <c r="B48" s="10" t="s">
        <v>74</v>
      </c>
      <c r="C48" s="10" t="s">
        <v>21</v>
      </c>
      <c r="D48" s="10" t="s">
        <v>75</v>
      </c>
    </row>
    <row r="49" spans="1:4" x14ac:dyDescent="0.3">
      <c r="A49" s="11">
        <f>SUM(A45:A48)</f>
        <v>5</v>
      </c>
      <c r="B49" s="11" t="s">
        <v>18</v>
      </c>
      <c r="C49" s="12"/>
      <c r="D49" s="12"/>
    </row>
    <row r="51" spans="1:4" x14ac:dyDescent="0.3">
      <c r="A51" s="2" t="s">
        <v>76</v>
      </c>
      <c r="B51" s="2"/>
      <c r="C51" s="13">
        <f>COUNTA(B6:B9)+COUNTA(B14:B24)+COUNTA(B30:B40)+COUNTA(B45:B48)</f>
        <v>30</v>
      </c>
    </row>
    <row r="52" spans="1:4" x14ac:dyDescent="0.3">
      <c r="A52" s="2" t="s">
        <v>77</v>
      </c>
      <c r="B52" s="2"/>
      <c r="C52" s="13">
        <f>SUM(A6:A9)+SUM(A14:A24)+SUM(A30:A40)+SUM(A45:A48)</f>
        <v>39</v>
      </c>
    </row>
    <row r="54" spans="1:4" x14ac:dyDescent="0.3">
      <c r="A54" s="1"/>
      <c r="B54" s="1"/>
      <c r="C54" s="1"/>
      <c r="D54" s="1"/>
    </row>
  </sheetData>
  <mergeCells count="10">
    <mergeCell ref="A28:D28"/>
    <mergeCell ref="A43:D43"/>
    <mergeCell ref="A51:B51"/>
    <mergeCell ref="A52:B52"/>
    <mergeCell ref="A54:D54"/>
    <mergeCell ref="A1:D1"/>
    <mergeCell ref="A2:D2"/>
    <mergeCell ref="A4:D4"/>
    <mergeCell ref="A12:D12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 martinez</cp:lastModifiedBy>
  <cp:revision>0</cp:revision>
  <dcterms:created xsi:type="dcterms:W3CDTF">2026-08-15T01:19:58Z</dcterms:created>
  <dcterms:modified xsi:type="dcterms:W3CDTF">2026-08-16T12:00:24Z</dcterms:modified>
  <dc:language>en-US</dc:language>
</cp:coreProperties>
</file>