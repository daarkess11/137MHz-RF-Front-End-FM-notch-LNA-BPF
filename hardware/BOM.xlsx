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137MHz-VHF-Satellite-LNA-Receiver\hardware\"/>
    </mc:Choice>
  </mc:AlternateContent>
  <xr:revisionPtr revIDLastSave="0" documentId="8_{1C022F80-BF70-475E-9AD7-F00A4F9DEAE7}" xr6:coauthVersionLast="47" xr6:coauthVersionMax="47" xr10:uidLastSave="{00000000-0000-0000-0000-000000000000}"/>
  <bookViews>
    <workbookView xWindow="444" yWindow="396" windowWidth="22596" windowHeight="11844" tabRatio="500" xr2:uid="{00000000-000D-0000-FFFF-FFFF00000000}"/>
  </bookViews>
  <sheets>
    <sheet name="BOM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1" l="1"/>
  <c r="C52" i="1"/>
  <c r="A50" i="1"/>
  <c r="A42" i="1"/>
  <c r="A26" i="1"/>
  <c r="A11" i="1"/>
</calcChain>
</file>

<file path=xl/sharedStrings.xml><?xml version="1.0" encoding="utf-8"?>
<sst xmlns="http://schemas.openxmlformats.org/spreadsheetml/2006/main" count="120" uniqueCount="81">
  <si>
    <t>Bill of Materials (BOM) — 137.5 MHz VHF Satellite LNA Receiver</t>
  </si>
  <si>
    <t>1. Semiconductors &amp; Connectors</t>
  </si>
  <si>
    <t>Qty</t>
  </si>
  <si>
    <t>Part Number (MPN)</t>
  </si>
  <si>
    <t>Package</t>
  </si>
  <si>
    <t>Value / Description</t>
  </si>
  <si>
    <t>PGA-103+</t>
  </si>
  <si>
    <t>SOT-89</t>
  </si>
  <si>
    <t>High Dynamic Range MMIC LNA (U1)</t>
  </si>
  <si>
    <t>AO3401A</t>
  </si>
  <si>
    <t>SOT-23</t>
  </si>
  <si>
    <t>P-MOSFET, Reverse Polarity Protection (Q1)</t>
  </si>
  <si>
    <t>132289</t>
  </si>
  <si>
    <t>SMD Edge</t>
  </si>
  <si>
    <t>SMA Female Edge Launch Connector 50 Ω (J1, J2)</t>
  </si>
  <si>
    <t>S2B-XH-A-1</t>
  </si>
  <si>
    <t>TH 2.5mm</t>
  </si>
  <si>
    <t>Header 2-Pin 2.5mm Right Angle (J3)</t>
  </si>
  <si>
    <t>Subtotal (units)</t>
  </si>
  <si>
    <t>2. Inductors &amp; Ferrite Beads (High-Q SMD)</t>
  </si>
  <si>
    <t>0603CS-16NXGRW</t>
  </si>
  <si>
    <t>0603</t>
  </si>
  <si>
    <t>16 nH, 2%, Ceramic Core (Butterworth)</t>
  </si>
  <si>
    <t>0603CS-22NXGRW</t>
  </si>
  <si>
    <t>22 nH, 2%, Ceramic Core (Cauer)</t>
  </si>
  <si>
    <t>0603CS-33NXGRW</t>
  </si>
  <si>
    <t>33 nH, 2%, Ceramic Core (Cauer)</t>
  </si>
  <si>
    <t>0603CS-82NXGRW</t>
  </si>
  <si>
    <t>82 nH, 2%, Ceramic Core (Cauer)</t>
  </si>
  <si>
    <t>0603CS-R12XGRW</t>
  </si>
  <si>
    <t>120 nH, 2%, Ceramic Core (Cauer)</t>
  </si>
  <si>
    <t>0603CS-R15XGRW</t>
  </si>
  <si>
    <t>150 nH, 2%, Ceramic Core (Cauer)</t>
  </si>
  <si>
    <t>0603CS-R22XGRW</t>
  </si>
  <si>
    <t>220 nH, 2%, Ceramic Core (Cauer)</t>
  </si>
  <si>
    <t>0603CS-R27XGRW</t>
  </si>
  <si>
    <t>270 nH, 2%, Ceramic Core (Butterworth)</t>
  </si>
  <si>
    <t>0805LS-471XJRC</t>
  </si>
  <si>
    <t>0805</t>
  </si>
  <si>
    <t>470 nH, 5%, Ceramic-Ferrite Core (Bias choke / R+L stability shunt)</t>
  </si>
  <si>
    <t>0805LS-681XJRC</t>
  </si>
  <si>
    <t>680 nH, 5%, Ceramic-Ferrite Core (Stab. network)</t>
  </si>
  <si>
    <t>BLM18HE601SN1D</t>
  </si>
  <si>
    <t>600 Ω @ 100MHz Ferrite Bead (DC Filtering)</t>
  </si>
  <si>
    <t>3. Capacitors (C0G/NP0 &amp; X7R/X5R)</t>
  </si>
  <si>
    <t>GRM1885C1H4R0BA01D</t>
  </si>
  <si>
    <t>4 pF, ±0.1pF, 50V (C0G/NP0)</t>
  </si>
  <si>
    <t>GRM1885C1H120GA01D</t>
  </si>
  <si>
    <t>12 pF, 2%, 50V (C0G/NP0)</t>
  </si>
  <si>
    <t>GRM1885C1H220GA01D</t>
  </si>
  <si>
    <t>22 pF, 2%, 50V (C0G/NP0)</t>
  </si>
  <si>
    <t>GRM1885C1H680GA01D</t>
  </si>
  <si>
    <t>68 pF, 2%, 50V (C0G/NP0)</t>
  </si>
  <si>
    <t>GRM1885C1H820GA01D</t>
  </si>
  <si>
    <t>82 pF, 2%, 50V (C0G/NP0)</t>
  </si>
  <si>
    <t>GRM1885C1H101GA01D</t>
  </si>
  <si>
    <t>100 pF, 2%, 50V (C0G/NP0)</t>
  </si>
  <si>
    <t>GRM1885C1H151GA01D</t>
  </si>
  <si>
    <t>150 pF, 2%, 50V (C0G/NP0)</t>
  </si>
  <si>
    <t>GRM1885C1H331JA01D</t>
  </si>
  <si>
    <t>330 pF, 5%, 50V (C0G/NP0) — Stab. network</t>
  </si>
  <si>
    <t>GRM188R72A103KA01D</t>
  </si>
  <si>
    <t>10 nF, 10%, 100V (X7R) — DC Block</t>
  </si>
  <si>
    <t>GRM188R71C334KA01D</t>
  </si>
  <si>
    <t>0.33 µF, 10%, 16V (X7R) — Decoupling</t>
  </si>
  <si>
    <t>GRM188R60J106ME47D</t>
  </si>
  <si>
    <t>10 µF, 20%, 6.3V (X5R) — Decoupling</t>
  </si>
  <si>
    <t>4. Resistors (Thick Film, 1%)</t>
  </si>
  <si>
    <t>RC0603FR-0718RL</t>
  </si>
  <si>
    <t>18 Ω, 1/10W, 1%</t>
  </si>
  <si>
    <t>RC0603FR-0750RL</t>
  </si>
  <si>
    <t>50 Ω, 1/10W, 1%</t>
  </si>
  <si>
    <t>RC0603FR-07150RL</t>
  </si>
  <si>
    <t>150 Ω, 1/10W, 1%</t>
  </si>
  <si>
    <t>RC0603FR-07300RL</t>
  </si>
  <si>
    <t>300 Ω, 1/10W, 1%</t>
  </si>
  <si>
    <t>Total unique line items:</t>
  </si>
  <si>
    <t>Total component quantity:</t>
  </si>
  <si>
    <t>SOT-223</t>
  </si>
  <si>
    <t>TLV1117-50CDCY</t>
  </si>
  <si>
    <t xml:space="preserve">LDO 5V fixed Output, Max Input Voltage 15V (U2)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</si>
</sst>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55555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55555"/>
      <name val="Arial"/>
      <charset val="1"/>
    </font>
    <font>
      <sz val="10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F5597"/>
        <bgColor rgb="FF555555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4" fillId="4" borderId="1" xfId="0" applyFont="1" applyFill="1" applyBorder="1"/>
    <xf numFmtId="0" fontId="0" fillId="4" borderId="1" xfId="0" applyFill="1" applyBorder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6" fillId="0" borderId="0" xfId="0" applyFont="1"/>
    <xf numFmtId="0" fontId="1" fillId="0" borderId="0" xfId="0" applyFont="1"/>
    <xf numFmtId="0" fontId="2" fillId="0" borderId="0" xfId="0" applyFont="1"/>
    <xf numFmtId="0" fontId="6" fillId="0" borderId="0" xfId="0" applyFont="1" applyAlignment="1">
      <alignment vertical="top" wrapText="1"/>
    </xf>
    <xf numFmtId="0" fontId="7" fillId="0" borderId="1" xfId="0" applyFont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showGridLines="0" tabSelected="1" zoomScaleNormal="100" workbookViewId="0">
      <pane ySplit="4" topLeftCell="A5" activePane="bottomLeft" state="frozen"/>
      <selection pane="bottomLeft" activeCell="D9" sqref="D9"/>
    </sheetView>
  </sheetViews>
  <sheetFormatPr baseColWidth="10" defaultColWidth="8.6640625" defaultRowHeight="14.4" x14ac:dyDescent="0.3"/>
  <cols>
    <col min="1" max="1" width="6" customWidth="1"/>
    <col min="2" max="2" width="26" customWidth="1"/>
    <col min="3" max="3" width="10" customWidth="1"/>
    <col min="4" max="4" width="55" customWidth="1"/>
  </cols>
  <sheetData>
    <row r="1" spans="1:4" ht="17.399999999999999" x14ac:dyDescent="0.3">
      <c r="A1" s="11" t="s">
        <v>0</v>
      </c>
      <c r="B1" s="11"/>
      <c r="C1" s="11"/>
      <c r="D1" s="11"/>
    </row>
    <row r="2" spans="1:4" x14ac:dyDescent="0.3">
      <c r="A2" s="12"/>
      <c r="B2" s="12"/>
      <c r="C2" s="12"/>
      <c r="D2" s="12"/>
    </row>
    <row r="4" spans="1:4" ht="19.5" customHeight="1" x14ac:dyDescent="0.3">
      <c r="A4" s="8" t="s">
        <v>1</v>
      </c>
      <c r="B4" s="8"/>
      <c r="C4" s="8"/>
      <c r="D4" s="8"/>
    </row>
    <row r="5" spans="1:4" x14ac:dyDescent="0.3">
      <c r="A5" s="2" t="s">
        <v>2</v>
      </c>
      <c r="B5" s="3" t="s">
        <v>3</v>
      </c>
      <c r="C5" s="2" t="s">
        <v>4</v>
      </c>
      <c r="D5" s="3" t="s">
        <v>5</v>
      </c>
    </row>
    <row r="6" spans="1:4" x14ac:dyDescent="0.3">
      <c r="A6" s="4">
        <v>1</v>
      </c>
      <c r="B6" s="5" t="s">
        <v>6</v>
      </c>
      <c r="C6" s="5" t="s">
        <v>7</v>
      </c>
      <c r="D6" s="5" t="s">
        <v>8</v>
      </c>
    </row>
    <row r="7" spans="1:4" x14ac:dyDescent="0.3">
      <c r="A7" s="4">
        <v>1</v>
      </c>
      <c r="B7" s="14" t="s">
        <v>9</v>
      </c>
      <c r="C7" s="5" t="s">
        <v>10</v>
      </c>
      <c r="D7" s="5" t="s">
        <v>11</v>
      </c>
    </row>
    <row r="8" spans="1:4" x14ac:dyDescent="0.3">
      <c r="A8" s="4">
        <v>2</v>
      </c>
      <c r="B8" s="5" t="s">
        <v>12</v>
      </c>
      <c r="C8" s="5" t="s">
        <v>13</v>
      </c>
      <c r="D8" s="5" t="s">
        <v>14</v>
      </c>
    </row>
    <row r="9" spans="1:4" x14ac:dyDescent="0.3">
      <c r="A9" s="4">
        <v>1</v>
      </c>
      <c r="B9" s="15" t="s">
        <v>79</v>
      </c>
      <c r="C9" s="5" t="s">
        <v>78</v>
      </c>
      <c r="D9" s="14" t="s">
        <v>80</v>
      </c>
    </row>
    <row r="10" spans="1:4" x14ac:dyDescent="0.3">
      <c r="A10" s="4">
        <v>1</v>
      </c>
      <c r="B10" s="5" t="s">
        <v>15</v>
      </c>
      <c r="C10" s="5" t="s">
        <v>16</v>
      </c>
      <c r="D10" s="5" t="s">
        <v>17</v>
      </c>
    </row>
    <row r="11" spans="1:4" x14ac:dyDescent="0.3">
      <c r="A11" s="6">
        <f>SUM(A6:A10)</f>
        <v>6</v>
      </c>
      <c r="B11" s="6" t="s">
        <v>18</v>
      </c>
      <c r="C11" s="7"/>
      <c r="D11" s="7"/>
    </row>
    <row r="13" spans="1:4" ht="19.5" customHeight="1" x14ac:dyDescent="0.3">
      <c r="A13" s="8" t="s">
        <v>19</v>
      </c>
      <c r="B13" s="8"/>
      <c r="C13" s="8"/>
      <c r="D13" s="8"/>
    </row>
    <row r="14" spans="1:4" x14ac:dyDescent="0.3">
      <c r="A14" s="2" t="s">
        <v>2</v>
      </c>
      <c r="B14" s="3" t="s">
        <v>3</v>
      </c>
      <c r="C14" s="2" t="s">
        <v>4</v>
      </c>
      <c r="D14" s="3" t="s">
        <v>5</v>
      </c>
    </row>
    <row r="15" spans="1:4" x14ac:dyDescent="0.3">
      <c r="A15" s="4">
        <v>2</v>
      </c>
      <c r="B15" s="5" t="s">
        <v>20</v>
      </c>
      <c r="C15" s="5" t="s">
        <v>21</v>
      </c>
      <c r="D15" s="5" t="s">
        <v>22</v>
      </c>
    </row>
    <row r="16" spans="1:4" x14ac:dyDescent="0.3">
      <c r="A16" s="4">
        <v>1</v>
      </c>
      <c r="B16" s="5" t="s">
        <v>23</v>
      </c>
      <c r="C16" s="5" t="s">
        <v>21</v>
      </c>
      <c r="D16" s="5" t="s">
        <v>24</v>
      </c>
    </row>
    <row r="17" spans="1:4" x14ac:dyDescent="0.3">
      <c r="A17" s="4">
        <v>2</v>
      </c>
      <c r="B17" s="5" t="s">
        <v>25</v>
      </c>
      <c r="C17" s="5" t="s">
        <v>21</v>
      </c>
      <c r="D17" s="5" t="s">
        <v>26</v>
      </c>
    </row>
    <row r="18" spans="1:4" x14ac:dyDescent="0.3">
      <c r="A18" s="4">
        <v>1</v>
      </c>
      <c r="B18" s="5" t="s">
        <v>27</v>
      </c>
      <c r="C18" s="5" t="s">
        <v>21</v>
      </c>
      <c r="D18" s="5" t="s">
        <v>28</v>
      </c>
    </row>
    <row r="19" spans="1:4" x14ac:dyDescent="0.3">
      <c r="A19" s="4">
        <v>1</v>
      </c>
      <c r="B19" s="5" t="s">
        <v>29</v>
      </c>
      <c r="C19" s="5" t="s">
        <v>21</v>
      </c>
      <c r="D19" s="5" t="s">
        <v>30</v>
      </c>
    </row>
    <row r="20" spans="1:4" x14ac:dyDescent="0.3">
      <c r="A20" s="4">
        <v>1</v>
      </c>
      <c r="B20" s="5" t="s">
        <v>31</v>
      </c>
      <c r="C20" s="5" t="s">
        <v>21</v>
      </c>
      <c r="D20" s="5" t="s">
        <v>32</v>
      </c>
    </row>
    <row r="21" spans="1:4" x14ac:dyDescent="0.3">
      <c r="A21" s="4">
        <v>1</v>
      </c>
      <c r="B21" s="5" t="s">
        <v>33</v>
      </c>
      <c r="C21" s="5" t="s">
        <v>21</v>
      </c>
      <c r="D21" s="5" t="s">
        <v>34</v>
      </c>
    </row>
    <row r="22" spans="1:4" x14ac:dyDescent="0.3">
      <c r="A22" s="4">
        <v>1</v>
      </c>
      <c r="B22" s="5" t="s">
        <v>35</v>
      </c>
      <c r="C22" s="5" t="s">
        <v>21</v>
      </c>
      <c r="D22" s="5" t="s">
        <v>36</v>
      </c>
    </row>
    <row r="23" spans="1:4" x14ac:dyDescent="0.3">
      <c r="A23" s="4">
        <v>2</v>
      </c>
      <c r="B23" s="5" t="s">
        <v>37</v>
      </c>
      <c r="C23" s="5" t="s">
        <v>38</v>
      </c>
      <c r="D23" s="5" t="s">
        <v>39</v>
      </c>
    </row>
    <row r="24" spans="1:4" x14ac:dyDescent="0.3">
      <c r="A24" s="4">
        <v>1</v>
      </c>
      <c r="B24" s="5" t="s">
        <v>40</v>
      </c>
      <c r="C24" s="5" t="s">
        <v>38</v>
      </c>
      <c r="D24" s="5" t="s">
        <v>41</v>
      </c>
    </row>
    <row r="25" spans="1:4" x14ac:dyDescent="0.3">
      <c r="A25" s="4">
        <v>1</v>
      </c>
      <c r="B25" s="5" t="s">
        <v>42</v>
      </c>
      <c r="C25" s="5" t="s">
        <v>21</v>
      </c>
      <c r="D25" s="5" t="s">
        <v>43</v>
      </c>
    </row>
    <row r="26" spans="1:4" x14ac:dyDescent="0.3">
      <c r="A26" s="6">
        <f>SUM(A15:A25)</f>
        <v>14</v>
      </c>
      <c r="B26" s="6" t="s">
        <v>18</v>
      </c>
      <c r="C26" s="7"/>
      <c r="D26" s="7"/>
    </row>
    <row r="27" spans="1:4" ht="27.75" customHeight="1" x14ac:dyDescent="0.3">
      <c r="A27" s="13"/>
      <c r="B27" s="13"/>
      <c r="C27" s="13"/>
      <c r="D27" s="13"/>
    </row>
    <row r="29" spans="1:4" ht="19.5" customHeight="1" x14ac:dyDescent="0.3">
      <c r="A29" s="8" t="s">
        <v>44</v>
      </c>
      <c r="B29" s="8"/>
      <c r="C29" s="8"/>
      <c r="D29" s="8"/>
    </row>
    <row r="30" spans="1:4" x14ac:dyDescent="0.3">
      <c r="A30" s="2" t="s">
        <v>2</v>
      </c>
      <c r="B30" s="3" t="s">
        <v>3</v>
      </c>
      <c r="C30" s="2" t="s">
        <v>4</v>
      </c>
      <c r="D30" s="3" t="s">
        <v>5</v>
      </c>
    </row>
    <row r="31" spans="1:4" x14ac:dyDescent="0.3">
      <c r="A31" s="4">
        <v>1</v>
      </c>
      <c r="B31" s="5" t="s">
        <v>45</v>
      </c>
      <c r="C31" s="5" t="s">
        <v>21</v>
      </c>
      <c r="D31" s="5" t="s">
        <v>46</v>
      </c>
    </row>
    <row r="32" spans="1:4" x14ac:dyDescent="0.3">
      <c r="A32" s="4">
        <v>1</v>
      </c>
      <c r="B32" s="5" t="s">
        <v>47</v>
      </c>
      <c r="C32" s="5" t="s">
        <v>21</v>
      </c>
      <c r="D32" s="5" t="s">
        <v>48</v>
      </c>
    </row>
    <row r="33" spans="1:4" x14ac:dyDescent="0.3">
      <c r="A33" s="4">
        <v>2</v>
      </c>
      <c r="B33" s="5" t="s">
        <v>49</v>
      </c>
      <c r="C33" s="5" t="s">
        <v>21</v>
      </c>
      <c r="D33" s="5" t="s">
        <v>50</v>
      </c>
    </row>
    <row r="34" spans="1:4" x14ac:dyDescent="0.3">
      <c r="A34" s="4">
        <v>2</v>
      </c>
      <c r="B34" s="5" t="s">
        <v>51</v>
      </c>
      <c r="C34" s="5" t="s">
        <v>21</v>
      </c>
      <c r="D34" s="5" t="s">
        <v>52</v>
      </c>
    </row>
    <row r="35" spans="1:4" x14ac:dyDescent="0.3">
      <c r="A35" s="4">
        <v>1</v>
      </c>
      <c r="B35" s="5" t="s">
        <v>53</v>
      </c>
      <c r="C35" s="5" t="s">
        <v>21</v>
      </c>
      <c r="D35" s="5" t="s">
        <v>54</v>
      </c>
    </row>
    <row r="36" spans="1:4" x14ac:dyDescent="0.3">
      <c r="A36" s="4">
        <v>2</v>
      </c>
      <c r="B36" s="5" t="s">
        <v>55</v>
      </c>
      <c r="C36" s="5" t="s">
        <v>21</v>
      </c>
      <c r="D36" s="5" t="s">
        <v>56</v>
      </c>
    </row>
    <row r="37" spans="1:4" x14ac:dyDescent="0.3">
      <c r="A37" s="4">
        <v>1</v>
      </c>
      <c r="B37" s="5" t="s">
        <v>57</v>
      </c>
      <c r="C37" s="5" t="s">
        <v>21</v>
      </c>
      <c r="D37" s="5" t="s">
        <v>58</v>
      </c>
    </row>
    <row r="38" spans="1:4" x14ac:dyDescent="0.3">
      <c r="A38" s="4">
        <v>1</v>
      </c>
      <c r="B38" s="5" t="s">
        <v>59</v>
      </c>
      <c r="C38" s="5" t="s">
        <v>21</v>
      </c>
      <c r="D38" s="5" t="s">
        <v>60</v>
      </c>
    </row>
    <row r="39" spans="1:4" x14ac:dyDescent="0.3">
      <c r="A39" s="4">
        <v>4</v>
      </c>
      <c r="B39" s="5" t="s">
        <v>61</v>
      </c>
      <c r="C39" s="5" t="s">
        <v>21</v>
      </c>
      <c r="D39" s="5" t="s">
        <v>62</v>
      </c>
    </row>
    <row r="40" spans="1:4" x14ac:dyDescent="0.3">
      <c r="A40" s="4">
        <v>1</v>
      </c>
      <c r="B40" s="5" t="s">
        <v>63</v>
      </c>
      <c r="C40" s="5" t="s">
        <v>21</v>
      </c>
      <c r="D40" s="5" t="s">
        <v>64</v>
      </c>
    </row>
    <row r="41" spans="1:4" x14ac:dyDescent="0.3">
      <c r="A41" s="4">
        <v>1</v>
      </c>
      <c r="B41" s="5" t="s">
        <v>65</v>
      </c>
      <c r="C41" s="5" t="s">
        <v>21</v>
      </c>
      <c r="D41" s="5" t="s">
        <v>66</v>
      </c>
    </row>
    <row r="42" spans="1:4" x14ac:dyDescent="0.3">
      <c r="A42" s="6">
        <f>SUM(A31:A41)</f>
        <v>17</v>
      </c>
      <c r="B42" s="6" t="s">
        <v>18</v>
      </c>
      <c r="C42" s="7"/>
      <c r="D42" s="7"/>
    </row>
    <row r="44" spans="1:4" ht="19.5" customHeight="1" x14ac:dyDescent="0.3">
      <c r="A44" s="8" t="s">
        <v>67</v>
      </c>
      <c r="B44" s="8"/>
      <c r="C44" s="8"/>
      <c r="D44" s="8"/>
    </row>
    <row r="45" spans="1:4" x14ac:dyDescent="0.3">
      <c r="A45" s="2" t="s">
        <v>2</v>
      </c>
      <c r="B45" s="3" t="s">
        <v>3</v>
      </c>
      <c r="C45" s="2" t="s">
        <v>4</v>
      </c>
      <c r="D45" s="3" t="s">
        <v>5</v>
      </c>
    </row>
    <row r="46" spans="1:4" x14ac:dyDescent="0.3">
      <c r="A46" s="4">
        <v>1</v>
      </c>
      <c r="B46" s="5" t="s">
        <v>68</v>
      </c>
      <c r="C46" s="5" t="s">
        <v>21</v>
      </c>
      <c r="D46" s="5" t="s">
        <v>69</v>
      </c>
    </row>
    <row r="47" spans="1:4" x14ac:dyDescent="0.3">
      <c r="A47" s="4">
        <v>1</v>
      </c>
      <c r="B47" s="5" t="s">
        <v>70</v>
      </c>
      <c r="C47" s="5" t="s">
        <v>21</v>
      </c>
      <c r="D47" s="5" t="s">
        <v>71</v>
      </c>
    </row>
    <row r="48" spans="1:4" x14ac:dyDescent="0.3">
      <c r="A48" s="4">
        <v>1</v>
      </c>
      <c r="B48" s="5" t="s">
        <v>72</v>
      </c>
      <c r="C48" s="5" t="s">
        <v>21</v>
      </c>
      <c r="D48" s="5" t="s">
        <v>73</v>
      </c>
    </row>
    <row r="49" spans="1:4" x14ac:dyDescent="0.3">
      <c r="A49" s="4">
        <v>2</v>
      </c>
      <c r="B49" s="5" t="s">
        <v>74</v>
      </c>
      <c r="C49" s="5" t="s">
        <v>21</v>
      </c>
      <c r="D49" s="5" t="s">
        <v>75</v>
      </c>
    </row>
    <row r="50" spans="1:4" x14ac:dyDescent="0.3">
      <c r="A50" s="6">
        <f>SUM(A46:A49)</f>
        <v>5</v>
      </c>
      <c r="B50" s="6" t="s">
        <v>18</v>
      </c>
      <c r="C50" s="7"/>
      <c r="D50" s="7"/>
    </row>
    <row r="52" spans="1:4" x14ac:dyDescent="0.3">
      <c r="A52" s="9" t="s">
        <v>76</v>
      </c>
      <c r="B52" s="9"/>
      <c r="C52" s="1">
        <f>COUNTA(B6:B10)+COUNTA(B15:B25)+COUNTA(B31:B41)+COUNTA(B46:B49)</f>
        <v>31</v>
      </c>
    </row>
    <row r="53" spans="1:4" x14ac:dyDescent="0.3">
      <c r="A53" s="9" t="s">
        <v>77</v>
      </c>
      <c r="B53" s="9"/>
      <c r="C53" s="1">
        <f>SUM(A6:A10)+SUM(A15:A25)+SUM(A31:A41)+SUM(A46:A49)</f>
        <v>42</v>
      </c>
    </row>
    <row r="55" spans="1:4" x14ac:dyDescent="0.3">
      <c r="A55" s="10"/>
      <c r="B55" s="10"/>
      <c r="C55" s="10"/>
      <c r="D55" s="10"/>
    </row>
  </sheetData>
  <mergeCells count="10">
    <mergeCell ref="A1:D1"/>
    <mergeCell ref="A2:D2"/>
    <mergeCell ref="A4:D4"/>
    <mergeCell ref="A13:D13"/>
    <mergeCell ref="A27:D27"/>
    <mergeCell ref="A29:D29"/>
    <mergeCell ref="A44:D44"/>
    <mergeCell ref="A52:B52"/>
    <mergeCell ref="A53:B53"/>
    <mergeCell ref="A55:D5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 martinez</cp:lastModifiedBy>
  <cp:revision>0</cp:revision>
  <dcterms:created xsi:type="dcterms:W3CDTF">2026-08-15T01:19:58Z</dcterms:created>
  <dcterms:modified xsi:type="dcterms:W3CDTF">2026-08-17T04:21:00Z</dcterms:modified>
  <dc:language>en-US</dc:language>
</cp:coreProperties>
</file>