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<sst xmlns="http://schemas.openxmlformats.org/spreadsheetml/2006/main" count="120" uniqueCount="81">
  <si>
    <t xml:space="preserve">Bill of Materials (BOM) — 137.5 MHz VHF Satellite LNA Receiver</t>
  </si>
  <si>
    <t xml:space="preserve">Quantity calculated for exactly ONE (1) single unit board. Optimized for R&amp;D/Aerospace standards (High-Q, Tight Tolerance in RF Path).</t>
  </si>
  <si>
    <t xml:space="preserve">1. Semiconductors &amp; Connectors</t>
  </si>
  <si>
    <t xml:space="preserve">Qty</t>
  </si>
  <si>
    <t xml:space="preserve">Part Number (MPN)</t>
  </si>
  <si>
    <t xml:space="preserve">Package</t>
  </si>
  <si>
    <t xml:space="preserve">Value / Description</t>
  </si>
  <si>
    <t xml:space="preserve">PGA-103+</t>
  </si>
  <si>
    <t xml:space="preserve">SOT-89</t>
  </si>
  <si>
    <t xml:space="preserve">High Dynamic Range MMIC LNA (U1)</t>
  </si>
  <si>
    <t xml:space="preserve">AO3401A</t>
  </si>
  <si>
    <t xml:space="preserve">SOT-23</t>
  </si>
  <si>
    <t xml:space="preserve">P-MOSFET, Reverse Polarity Protection (Q1)</t>
  </si>
  <si>
    <t xml:space="preserve">132289</t>
  </si>
  <si>
    <t xml:space="preserve">SMD Edge</t>
  </si>
  <si>
    <t xml:space="preserve">SMA Female Edge Launch Connector 50 Ω (J1, J2)</t>
  </si>
  <si>
    <t xml:space="preserve">S2B-XH-A-1</t>
  </si>
  <si>
    <t xml:space="preserve">TH 2.5mm</t>
  </si>
  <si>
    <t xml:space="preserve">Header 2-Pin 2.5mm Right Angle (J3)</t>
  </si>
  <si>
    <t xml:space="preserve">Subtotal (units)</t>
  </si>
  <si>
    <t xml:space="preserve">2. Inductors &amp; Ferrite Beads (High-Q SMD)</t>
  </si>
  <si>
    <t xml:space="preserve">0603CS-16NXGRW</t>
  </si>
  <si>
    <t xml:space="preserve">0603</t>
  </si>
  <si>
    <t xml:space="preserve">16 nH, 2%, Ceramic Core (Butterworth)</t>
  </si>
  <si>
    <t xml:space="preserve">0603CS-22NXGRW</t>
  </si>
  <si>
    <t xml:space="preserve">22 nH, 2%, Ceramic Core (Cauer)</t>
  </si>
  <si>
    <t xml:space="preserve">0603CS-33NXGRW</t>
  </si>
  <si>
    <t xml:space="preserve">33 nH, 2%, Ceramic Core (Cauer)</t>
  </si>
  <si>
    <t xml:space="preserve">0603CS-82NXGRW</t>
  </si>
  <si>
    <t xml:space="preserve">82 nH, 2%, Ceramic Core (Cauer)</t>
  </si>
  <si>
    <t xml:space="preserve">0603CS-R12XGRW</t>
  </si>
  <si>
    <t xml:space="preserve">120 nH, 2%, Ceramic Core (Cauer)</t>
  </si>
  <si>
    <t xml:space="preserve">0603CS-R15XGRW</t>
  </si>
  <si>
    <t xml:space="preserve">150 nH, 2%, Ceramic Core (Cauer)</t>
  </si>
  <si>
    <t xml:space="preserve">0603CS-R22XGRW</t>
  </si>
  <si>
    <t xml:space="preserve">220 nH, 2%, Ceramic Core (Cauer)</t>
  </si>
  <si>
    <t xml:space="preserve">0603CS-R27XGRW</t>
  </si>
  <si>
    <t xml:space="preserve">270 nH, 2%, Ceramic Core (Butterworth)</t>
  </si>
  <si>
    <t xml:space="preserve">0805LS-471XJRC</t>
  </si>
  <si>
    <t xml:space="preserve">0805</t>
  </si>
  <si>
    <t xml:space="preserve">470 nH, 5%, Ceramic-Ferrite Core (Bias choke / R+L stability shunt)</t>
  </si>
  <si>
    <t xml:space="preserve">0805LS-681XJRC</t>
  </si>
  <si>
    <t xml:space="preserve">680 nH, 5%, Ceramic-Ferrite Core (Stab. network)</t>
  </si>
  <si>
    <t xml:space="preserve">BLM18HE601SN1D</t>
  </si>
  <si>
    <t xml:space="preserve">600 Ω @ 100MHz Ferrite Bead (DC Filtering)</t>
  </si>
  <si>
    <t xml:space="preserve">Note: the 470nH/680nH inductors are kept at 5% intentionally — they set wideband RF-choke / stability-shunt impedance, not a precision frequency response. The design already carries margin (K-factor target 1.2–1.5, achieved 1.68), so ±5% has no meaningful effect.</t>
  </si>
  <si>
    <t xml:space="preserve">3. Capacitors (C0G/NP0 &amp; X7R/X5R)</t>
  </si>
  <si>
    <t xml:space="preserve">GRM1885C1H4R0BA01D</t>
  </si>
  <si>
    <t xml:space="preserve">4 pF, ±0.1pF, 50V (C0G/NP0)</t>
  </si>
  <si>
    <t xml:space="preserve">GRM1885C1H120GA01D</t>
  </si>
  <si>
    <t xml:space="preserve">12 pF, 2%, 50V (C0G/NP0)</t>
  </si>
  <si>
    <t xml:space="preserve">GRM1885C1H220GA01D</t>
  </si>
  <si>
    <t xml:space="preserve">22 pF, 2%, 50V (C0G/NP0)</t>
  </si>
  <si>
    <t xml:space="preserve">GRM1885C1H680GA01D</t>
  </si>
  <si>
    <t xml:space="preserve">68 pF, 2%, 50V (C0G/NP0)</t>
  </si>
  <si>
    <t xml:space="preserve">GRM1885C1H820GA01D</t>
  </si>
  <si>
    <t xml:space="preserve">82 pF, 2%, 50V (C0G/NP0)</t>
  </si>
  <si>
    <t xml:space="preserve">GRM1885C1H101GA01D</t>
  </si>
  <si>
    <t xml:space="preserve">100 pF, 2%, 50V (C0G/NP0)</t>
  </si>
  <si>
    <t xml:space="preserve">GRM1885C1H151GA01D</t>
  </si>
  <si>
    <t xml:space="preserve">150 pF, 2%, 50V (C0G/NP0)</t>
  </si>
  <si>
    <t xml:space="preserve">GRM1885C1H331JA01D</t>
  </si>
  <si>
    <t xml:space="preserve">330 pF, 5%, 50V (C0G/NP0) — Stab. network</t>
  </si>
  <si>
    <t xml:space="preserve">GRM188R72A103KA01D</t>
  </si>
  <si>
    <t xml:space="preserve">10 nF, 10%, 100V (X7R) — DC Block</t>
  </si>
  <si>
    <t xml:space="preserve">GRM188R71C334KA01D</t>
  </si>
  <si>
    <t xml:space="preserve">0.33 µF, 10%, 16V (X7R) — Decoupling</t>
  </si>
  <si>
    <t xml:space="preserve">GRM188R60J106ME47D</t>
  </si>
  <si>
    <t xml:space="preserve">10 µF, 20%, 6.3V (X5R) — Decoupling</t>
  </si>
  <si>
    <t xml:space="preserve">4. Resistors (Thick Film, 1%)</t>
  </si>
  <si>
    <t xml:space="preserve">RC0603FR-0718RL</t>
  </si>
  <si>
    <t xml:space="preserve">18 Ω, 1/10W, 1%</t>
  </si>
  <si>
    <t xml:space="preserve">RC0603FR-0750RL</t>
  </si>
  <si>
    <t xml:space="preserve">50 Ω, 1/10W, 1%</t>
  </si>
  <si>
    <t xml:space="preserve">RC0603FR-07150RL</t>
  </si>
  <si>
    <t xml:space="preserve">150 Ω, 1/10W, 1%</t>
  </si>
  <si>
    <t xml:space="preserve">RC0603FR-07300RL</t>
  </si>
  <si>
    <t xml:space="preserve">300 Ω, 1/10W, 1%</t>
  </si>
  <si>
    <t xml:space="preserve">Total unique line items:</t>
  </si>
  <si>
    <t xml:space="preserve">Total component quantity:</t>
  </si>
  <si>
    <t xml:space="preserve">Source: BOM.pdf supplied by project author (137MHz-VHF-Satellite-LNA-Receiver repository).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</si>
</sst>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5597"/>
        <bgColor rgb="FF555555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55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9.5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s">
        <v>4</v>
      </c>
      <c r="C5" s="4" t="s">
        <v>5</v>
      </c>
      <c r="D5" s="5" t="s">
        <v>6</v>
      </c>
    </row>
    <row r="6" customFormat="false" ht="15" hidden="false" customHeight="false" outlineLevel="0" collapsed="false">
      <c r="A6" s="6" t="n">
        <v>1</v>
      </c>
      <c r="B6" s="7" t="s">
        <v>7</v>
      </c>
      <c r="C6" s="7" t="s">
        <v>8</v>
      </c>
      <c r="D6" s="7" t="s">
        <v>9</v>
      </c>
    </row>
    <row r="7" customFormat="false" ht="15" hidden="false" customHeight="false" outlineLevel="0" collapsed="false">
      <c r="A7" s="6" t="n">
        <v>1</v>
      </c>
      <c r="B7" s="7" t="s">
        <v>10</v>
      </c>
      <c r="C7" s="7" t="s">
        <v>11</v>
      </c>
      <c r="D7" s="7" t="s">
        <v>12</v>
      </c>
    </row>
    <row r="8" customFormat="false" ht="15" hidden="false" customHeight="false" outlineLevel="0" collapsed="false">
      <c r="A8" s="6" t="n">
        <v>2</v>
      </c>
      <c r="B8" s="7" t="s">
        <v>13</v>
      </c>
      <c r="C8" s="7" t="s">
        <v>14</v>
      </c>
      <c r="D8" s="7" t="s">
        <v>15</v>
      </c>
    </row>
    <row r="9" customFormat="false" ht="15" hidden="false" customHeight="false" outlineLevel="0" collapsed="false">
      <c r="A9" s="6" t="n">
        <v>1</v>
      </c>
      <c r="B9" s="7" t="s">
        <v>16</v>
      </c>
      <c r="C9" s="7" t="s">
        <v>17</v>
      </c>
      <c r="D9" s="7" t="s">
        <v>18</v>
      </c>
    </row>
    <row r="10" customFormat="false" ht="15" hidden="false" customHeight="false" outlineLevel="0" collapsed="false">
      <c r="A10" s="8" t="n">
        <f aca="false">SUM(A6:A9)</f>
        <v>5</v>
      </c>
      <c r="B10" s="8" t="s">
        <v>19</v>
      </c>
      <c r="C10" s="9"/>
      <c r="D10" s="9"/>
    </row>
    <row r="12" customFormat="false" ht="19.5" hidden="false" customHeight="true" outlineLevel="0" collapsed="false">
      <c r="A12" s="3" t="s">
        <v>20</v>
      </c>
      <c r="B12" s="3"/>
      <c r="C12" s="3"/>
      <c r="D12" s="3"/>
    </row>
    <row r="13" customFormat="false" ht="15" hidden="false" customHeight="false" outlineLevel="0" collapsed="false">
      <c r="A13" s="4" t="s">
        <v>3</v>
      </c>
      <c r="B13" s="5" t="s">
        <v>4</v>
      </c>
      <c r="C13" s="4" t="s">
        <v>5</v>
      </c>
      <c r="D13" s="5" t="s">
        <v>6</v>
      </c>
    </row>
    <row r="14" customFormat="false" ht="15" hidden="false" customHeight="false" outlineLevel="0" collapsed="false">
      <c r="A14" s="6" t="n">
        <v>2</v>
      </c>
      <c r="B14" s="7" t="s">
        <v>21</v>
      </c>
      <c r="C14" s="7" t="s">
        <v>22</v>
      </c>
      <c r="D14" s="7" t="s">
        <v>23</v>
      </c>
    </row>
    <row r="15" customFormat="false" ht="15" hidden="false" customHeight="false" outlineLevel="0" collapsed="false">
      <c r="A15" s="6" t="n">
        <v>1</v>
      </c>
      <c r="B15" s="7" t="s">
        <v>24</v>
      </c>
      <c r="C15" s="7" t="s">
        <v>22</v>
      </c>
      <c r="D15" s="7" t="s">
        <v>25</v>
      </c>
    </row>
    <row r="16" customFormat="false" ht="15" hidden="false" customHeight="false" outlineLevel="0" collapsed="false">
      <c r="A16" s="6" t="n">
        <v>2</v>
      </c>
      <c r="B16" s="7" t="s">
        <v>26</v>
      </c>
      <c r="C16" s="7" t="s">
        <v>22</v>
      </c>
      <c r="D16" s="7" t="s">
        <v>27</v>
      </c>
    </row>
    <row r="17" customFormat="false" ht="15" hidden="false" customHeight="false" outlineLevel="0" collapsed="false">
      <c r="A17" s="6" t="n">
        <v>1</v>
      </c>
      <c r="B17" s="7" t="s">
        <v>28</v>
      </c>
      <c r="C17" s="7" t="s">
        <v>22</v>
      </c>
      <c r="D17" s="7" t="s">
        <v>29</v>
      </c>
    </row>
    <row r="18" customFormat="false" ht="15" hidden="false" customHeight="false" outlineLevel="0" collapsed="false">
      <c r="A18" s="6" t="n">
        <v>1</v>
      </c>
      <c r="B18" s="7" t="s">
        <v>30</v>
      </c>
      <c r="C18" s="7" t="s">
        <v>22</v>
      </c>
      <c r="D18" s="7" t="s">
        <v>31</v>
      </c>
    </row>
    <row r="19" customFormat="false" ht="15" hidden="false" customHeight="false" outlineLevel="0" collapsed="false">
      <c r="A19" s="6" t="n">
        <v>1</v>
      </c>
      <c r="B19" s="7" t="s">
        <v>32</v>
      </c>
      <c r="C19" s="7" t="s">
        <v>22</v>
      </c>
      <c r="D19" s="7" t="s">
        <v>33</v>
      </c>
    </row>
    <row r="20" customFormat="false" ht="15" hidden="false" customHeight="false" outlineLevel="0" collapsed="false">
      <c r="A20" s="6" t="n">
        <v>1</v>
      </c>
      <c r="B20" s="7" t="s">
        <v>34</v>
      </c>
      <c r="C20" s="7" t="s">
        <v>22</v>
      </c>
      <c r="D20" s="7" t="s">
        <v>35</v>
      </c>
    </row>
    <row r="21" customFormat="false" ht="15" hidden="false" customHeight="false" outlineLevel="0" collapsed="false">
      <c r="A21" s="6" t="n">
        <v>1</v>
      </c>
      <c r="B21" s="7" t="s">
        <v>36</v>
      </c>
      <c r="C21" s="7" t="s">
        <v>22</v>
      </c>
      <c r="D21" s="7" t="s">
        <v>37</v>
      </c>
    </row>
    <row r="22" customFormat="false" ht="15" hidden="false" customHeight="false" outlineLevel="0" collapsed="false">
      <c r="A22" s="6" t="n">
        <v>2</v>
      </c>
      <c r="B22" s="7" t="s">
        <v>38</v>
      </c>
      <c r="C22" s="7" t="s">
        <v>39</v>
      </c>
      <c r="D22" s="7" t="s">
        <v>40</v>
      </c>
    </row>
    <row r="23" customFormat="false" ht="15" hidden="false" customHeight="false" outlineLevel="0" collapsed="false">
      <c r="A23" s="6" t="n">
        <v>1</v>
      </c>
      <c r="B23" s="7" t="s">
        <v>41</v>
      </c>
      <c r="C23" s="7" t="s">
        <v>39</v>
      </c>
      <c r="D23" s="7" t="s">
        <v>42</v>
      </c>
    </row>
    <row r="24" customFormat="false" ht="15" hidden="false" customHeight="false" outlineLevel="0" collapsed="false">
      <c r="A24" s="6" t="n">
        <v>1</v>
      </c>
      <c r="B24" s="7" t="s">
        <v>43</v>
      </c>
      <c r="C24" s="7" t="s">
        <v>22</v>
      </c>
      <c r="D24" s="7" t="s">
        <v>44</v>
      </c>
    </row>
    <row r="25" customFormat="false" ht="15" hidden="false" customHeight="false" outlineLevel="0" collapsed="false">
      <c r="A25" s="8" t="n">
        <f aca="false">SUM(A14:A24)</f>
        <v>14</v>
      </c>
      <c r="B25" s="8" t="s">
        <v>19</v>
      </c>
      <c r="C25" s="9"/>
      <c r="D25" s="9"/>
    </row>
    <row r="26" customFormat="false" ht="27.75" hidden="false" customHeight="true" outlineLevel="0" collapsed="false">
      <c r="A26" s="10" t="s">
        <v>45</v>
      </c>
      <c r="B26" s="10"/>
      <c r="C26" s="10"/>
      <c r="D26" s="10"/>
    </row>
    <row r="28" customFormat="false" ht="19.5" hidden="false" customHeight="true" outlineLevel="0" collapsed="false">
      <c r="A28" s="3" t="s">
        <v>46</v>
      </c>
      <c r="B28" s="3"/>
      <c r="C28" s="3"/>
      <c r="D28" s="3"/>
    </row>
    <row r="29" customFormat="false" ht="15" hidden="false" customHeight="false" outlineLevel="0" collapsed="false">
      <c r="A29" s="4" t="s">
        <v>3</v>
      </c>
      <c r="B29" s="5" t="s">
        <v>4</v>
      </c>
      <c r="C29" s="4" t="s">
        <v>5</v>
      </c>
      <c r="D29" s="5" t="s">
        <v>6</v>
      </c>
    </row>
    <row r="30" customFormat="false" ht="15" hidden="false" customHeight="false" outlineLevel="0" collapsed="false">
      <c r="A30" s="6" t="n">
        <v>1</v>
      </c>
      <c r="B30" s="7" t="s">
        <v>47</v>
      </c>
      <c r="C30" s="7" t="s">
        <v>22</v>
      </c>
      <c r="D30" s="7" t="s">
        <v>48</v>
      </c>
    </row>
    <row r="31" customFormat="false" ht="15" hidden="false" customHeight="false" outlineLevel="0" collapsed="false">
      <c r="A31" s="6" t="n">
        <v>1</v>
      </c>
      <c r="B31" s="7" t="s">
        <v>49</v>
      </c>
      <c r="C31" s="7" t="s">
        <v>22</v>
      </c>
      <c r="D31" s="7" t="s">
        <v>50</v>
      </c>
    </row>
    <row r="32" customFormat="false" ht="15" hidden="false" customHeight="false" outlineLevel="0" collapsed="false">
      <c r="A32" s="6" t="n">
        <v>2</v>
      </c>
      <c r="B32" s="7" t="s">
        <v>51</v>
      </c>
      <c r="C32" s="7" t="s">
        <v>22</v>
      </c>
      <c r="D32" s="7" t="s">
        <v>52</v>
      </c>
    </row>
    <row r="33" customFormat="false" ht="15" hidden="false" customHeight="false" outlineLevel="0" collapsed="false">
      <c r="A33" s="6" t="n">
        <v>2</v>
      </c>
      <c r="B33" s="7" t="s">
        <v>53</v>
      </c>
      <c r="C33" s="7" t="s">
        <v>22</v>
      </c>
      <c r="D33" s="7" t="s">
        <v>54</v>
      </c>
    </row>
    <row r="34" customFormat="false" ht="15" hidden="false" customHeight="false" outlineLevel="0" collapsed="false">
      <c r="A34" s="6" t="n">
        <v>1</v>
      </c>
      <c r="B34" s="7" t="s">
        <v>55</v>
      </c>
      <c r="C34" s="7" t="s">
        <v>22</v>
      </c>
      <c r="D34" s="7" t="s">
        <v>56</v>
      </c>
    </row>
    <row r="35" customFormat="false" ht="15" hidden="false" customHeight="false" outlineLevel="0" collapsed="false">
      <c r="A35" s="6" t="n">
        <v>2</v>
      </c>
      <c r="B35" s="7" t="s">
        <v>57</v>
      </c>
      <c r="C35" s="7" t="s">
        <v>22</v>
      </c>
      <c r="D35" s="7" t="s">
        <v>58</v>
      </c>
    </row>
    <row r="36" customFormat="false" ht="15" hidden="false" customHeight="false" outlineLevel="0" collapsed="false">
      <c r="A36" s="6" t="n">
        <v>1</v>
      </c>
      <c r="B36" s="7" t="s">
        <v>59</v>
      </c>
      <c r="C36" s="7" t="s">
        <v>22</v>
      </c>
      <c r="D36" s="7" t="s">
        <v>60</v>
      </c>
    </row>
    <row r="37" customFormat="false" ht="15" hidden="false" customHeight="false" outlineLevel="0" collapsed="false">
      <c r="A37" s="6" t="n">
        <v>1</v>
      </c>
      <c r="B37" s="7" t="s">
        <v>61</v>
      </c>
      <c r="C37" s="7" t="s">
        <v>22</v>
      </c>
      <c r="D37" s="7" t="s">
        <v>62</v>
      </c>
    </row>
    <row r="38" customFormat="false" ht="15" hidden="false" customHeight="false" outlineLevel="0" collapsed="false">
      <c r="A38" s="6" t="n">
        <v>2</v>
      </c>
      <c r="B38" s="7" t="s">
        <v>63</v>
      </c>
      <c r="C38" s="7" t="s">
        <v>22</v>
      </c>
      <c r="D38" s="7" t="s">
        <v>64</v>
      </c>
    </row>
    <row r="39" customFormat="false" ht="15" hidden="false" customHeight="false" outlineLevel="0" collapsed="false">
      <c r="A39" s="6" t="n">
        <v>1</v>
      </c>
      <c r="B39" s="7" t="s">
        <v>65</v>
      </c>
      <c r="C39" s="7" t="s">
        <v>22</v>
      </c>
      <c r="D39" s="7" t="s">
        <v>66</v>
      </c>
    </row>
    <row r="40" customFormat="false" ht="15" hidden="false" customHeight="false" outlineLevel="0" collapsed="false">
      <c r="A40" s="6" t="n">
        <v>1</v>
      </c>
      <c r="B40" s="7" t="s">
        <v>67</v>
      </c>
      <c r="C40" s="7" t="s">
        <v>22</v>
      </c>
      <c r="D40" s="7" t="s">
        <v>68</v>
      </c>
    </row>
    <row r="41" customFormat="false" ht="15" hidden="false" customHeight="false" outlineLevel="0" collapsed="false">
      <c r="A41" s="8" t="n">
        <f aca="false">SUM(A30:A40)</f>
        <v>15</v>
      </c>
      <c r="B41" s="8" t="s">
        <v>19</v>
      </c>
      <c r="C41" s="9"/>
      <c r="D41" s="9"/>
    </row>
    <row r="43" customFormat="false" ht="19.5" hidden="false" customHeight="true" outlineLevel="0" collapsed="false">
      <c r="A43" s="3" t="s">
        <v>69</v>
      </c>
      <c r="B43" s="3"/>
      <c r="C43" s="3"/>
      <c r="D43" s="3"/>
    </row>
    <row r="44" customFormat="false" ht="15" hidden="false" customHeight="false" outlineLevel="0" collapsed="false">
      <c r="A44" s="4" t="s">
        <v>3</v>
      </c>
      <c r="B44" s="5" t="s">
        <v>4</v>
      </c>
      <c r="C44" s="4" t="s">
        <v>5</v>
      </c>
      <c r="D44" s="5" t="s">
        <v>6</v>
      </c>
    </row>
    <row r="45" customFormat="false" ht="15" hidden="false" customHeight="false" outlineLevel="0" collapsed="false">
      <c r="A45" s="6" t="n">
        <v>1</v>
      </c>
      <c r="B45" s="7" t="s">
        <v>70</v>
      </c>
      <c r="C45" s="7" t="s">
        <v>22</v>
      </c>
      <c r="D45" s="7" t="s">
        <v>71</v>
      </c>
    </row>
    <row r="46" customFormat="false" ht="15" hidden="false" customHeight="false" outlineLevel="0" collapsed="false">
      <c r="A46" s="6" t="n">
        <v>1</v>
      </c>
      <c r="B46" s="7" t="s">
        <v>72</v>
      </c>
      <c r="C46" s="7" t="s">
        <v>22</v>
      </c>
      <c r="D46" s="7" t="s">
        <v>73</v>
      </c>
    </row>
    <row r="47" customFormat="false" ht="15" hidden="false" customHeight="false" outlineLevel="0" collapsed="false">
      <c r="A47" s="6" t="n">
        <v>1</v>
      </c>
      <c r="B47" s="7" t="s">
        <v>74</v>
      </c>
      <c r="C47" s="7" t="s">
        <v>22</v>
      </c>
      <c r="D47" s="7" t="s">
        <v>75</v>
      </c>
    </row>
    <row r="48" customFormat="false" ht="15" hidden="false" customHeight="false" outlineLevel="0" collapsed="false">
      <c r="A48" s="6" t="n">
        <v>2</v>
      </c>
      <c r="B48" s="7" t="s">
        <v>76</v>
      </c>
      <c r="C48" s="7" t="s">
        <v>22</v>
      </c>
      <c r="D48" s="7" t="s">
        <v>77</v>
      </c>
    </row>
    <row r="49" customFormat="false" ht="15" hidden="false" customHeight="false" outlineLevel="0" collapsed="false">
      <c r="A49" s="8" t="n">
        <f aca="false">SUM(A45:A48)</f>
        <v>5</v>
      </c>
      <c r="B49" s="8" t="s">
        <v>19</v>
      </c>
      <c r="C49" s="9"/>
      <c r="D49" s="9"/>
    </row>
    <row r="51" customFormat="false" ht="15" hidden="false" customHeight="false" outlineLevel="0" collapsed="false">
      <c r="A51" s="11" t="s">
        <v>78</v>
      </c>
      <c r="B51" s="11"/>
      <c r="C51" s="12" t="n">
        <f aca="false">COUNTA(B6:B9)+COUNTA(B14:B24)+COUNTA(B30:B40)+COUNTA(B45:B48)</f>
        <v>30</v>
      </c>
    </row>
    <row r="52" customFormat="false" ht="15" hidden="false" customHeight="false" outlineLevel="0" collapsed="false">
      <c r="A52" s="11" t="s">
        <v>79</v>
      </c>
      <c r="B52" s="11"/>
      <c r="C52" s="12" t="n">
        <f aca="false">SUM(A6:A9)+SUM(A14:A24)+SUM(A30:A40)+SUM(A45:A48)</f>
        <v>39</v>
      </c>
    </row>
    <row r="54" customFormat="false" ht="15" hidden="false" customHeight="false" outlineLevel="0" collapsed="false">
      <c r="A54" s="13" t="s">
        <v>80</v>
      </c>
      <c r="B54" s="13"/>
      <c r="C54" s="13"/>
      <c r="D54" s="13"/>
    </row>
  </sheetData>
  <mergeCells count="10">
    <mergeCell ref="A1:D1"/>
    <mergeCell ref="A2:D2"/>
    <mergeCell ref="A4:D4"/>
    <mergeCell ref="A12:D12"/>
    <mergeCell ref="A26:D26"/>
    <mergeCell ref="A28:D28"/>
    <mergeCell ref="A43:D43"/>
    <mergeCell ref="A51:B51"/>
    <mergeCell ref="A52:B52"/>
    <mergeCell ref="A54:D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2026-08-15T01:19:58Z</dcterms:created>
  <dc:creator>openpyxl</dc:creator>
  <dc:description/>
  <dc:language>en-US</dc:language>
  <cp:lastModifiedBy/>
  <dcterms:modified xsi:type="dcterms:W3CDTF">2026-08-15T01:19:58Z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